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zeezg\Desktop\Coffee Sales Dashboard\"/>
    </mc:Choice>
  </mc:AlternateContent>
  <xr:revisionPtr revIDLastSave="0" documentId="13_ncr:1_{F175590F-851B-4467-9C8D-4B56881BCE72}" xr6:coauthVersionLast="47" xr6:coauthVersionMax="47" xr10:uidLastSave="{00000000-0000-0000-0000-000000000000}"/>
  <bookViews>
    <workbookView xWindow="-108" yWindow="-108" windowWidth="23256" windowHeight="12576" firstSheet="2" activeTab="4"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<sst xmlns="http://schemas.openxmlformats.org/spreadsheetml/2006/main" count="11136" uniqueCount="6226">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</sst>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0" fontId="0" fillId="0" borderId="0" xfId="0" applyFont="1"/>
    <xf numFmtId="169" fontId="0" fillId="0" borderId="0" xfId="0" applyNumberFormat="1"/>
    <xf numFmtId="170"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074800"/>
        </patternFill>
      </fill>
    </dxf>
    <dxf>
      <numFmt numFmtId="0" formatCode="General"/>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124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Green Slicer" pivot="0" table="0" count="6" xr9:uid="{C39DD675-E011-4FB2-8C09-A7C898EF5676}">
      <tableStyleElement type="wholeTable" dxfId="1"/>
      <tableStyleElement type="headerRow" dxfId="0"/>
    </tableStyle>
    <tableStyle name="Green Timelinee" pivot="0" table="0" count="8" xr9:uid="{D7698E09-3FFF-4F4C-88C6-9AB376C1D256}">
      <tableStyleElement type="wholeTable" dxfId="15"/>
      <tableStyleElement type="headerRow" dxfId="14"/>
    </tableStyle>
  </tableStyles>
  <colors>
    <mruColors>
      <color rgb="FFF0FEF0"/>
      <color rgb="FF095C00"/>
      <color rgb="FF074800"/>
      <color rgb="FFB6FCB8"/>
      <color rgb="FFC7FDC8"/>
      <color rgb="FF7AFA7D"/>
      <color rgb="FF0FA200"/>
      <color rgb="FF08C80D"/>
      <color rgb="FF124701"/>
      <color rgb="FF06661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Green Slicer">
        <x14:slicerStyle name="Gree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7AFA7D"/>
            </patternFill>
          </fill>
          <border>
            <left style="thin">
              <color theme="0"/>
            </left>
            <right style="thin">
              <color theme="0"/>
            </right>
            <top style="thin">
              <color theme="0"/>
            </top>
            <bottom style="thin">
              <color theme="0"/>
            </bottom>
          </border>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Timeline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Total Sales</a:t>
            </a:r>
            <a:r>
              <a:rPr lang="en-CA" baseline="0"/>
              <a:t> Over Time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rgbClr val="4BFFE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rgbClr val="7030A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rgbClr val="00B05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rgbClr val="4BFFEA"/>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rgbClr val="7030A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w="28575" cap="rnd">
            <a:solidFill>
              <a:srgbClr val="FF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w="28575" cap="rnd">
            <a:solidFill>
              <a:srgbClr val="00B05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ln w="28575" cap="rnd">
            <a:solidFill>
              <a:srgbClr val="4BFF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4BFFEA"/>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0DB-4D25-B593-6A4AE2907D9C}"/>
            </c:ext>
          </c:extLst>
        </c:ser>
        <c:ser>
          <c:idx val="1"/>
          <c:order val="1"/>
          <c:tx>
            <c:strRef>
              <c:f>TotalSales!$D$3:$D$4</c:f>
              <c:strCache>
                <c:ptCount val="1"/>
                <c:pt idx="0">
                  <c:v>Excelsa</c:v>
                </c:pt>
              </c:strCache>
            </c:strRef>
          </c:tx>
          <c:spPr>
            <a:ln w="28575" cap="rnd">
              <a:solidFill>
                <a:srgbClr val="7030A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0DB-4D25-B593-6A4AE2907D9C}"/>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0DB-4D25-B593-6A4AE2907D9C}"/>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0DB-4D25-B593-6A4AE2907D9C}"/>
            </c:ext>
          </c:extLst>
        </c:ser>
        <c:dLbls>
          <c:showLegendKey val="0"/>
          <c:showVal val="0"/>
          <c:showCatName val="0"/>
          <c:showSerName val="0"/>
          <c:showPercent val="0"/>
          <c:showBubbleSize val="0"/>
        </c:dLbls>
        <c:smooth val="0"/>
        <c:axId val="264876815"/>
        <c:axId val="264875855"/>
      </c:lineChart>
      <c:catAx>
        <c:axId val="26487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5855"/>
        <c:crosses val="autoZero"/>
        <c:auto val="1"/>
        <c:lblAlgn val="ctr"/>
        <c:lblOffset val="100"/>
        <c:noMultiLvlLbl val="0"/>
      </c:catAx>
      <c:valAx>
        <c:axId val="26487585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FE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95C00"/>
          </a:solidFill>
          <a:ln w="19050">
            <a:solidFill>
              <a:schemeClr val="bg1"/>
            </a:solidFill>
          </a:ln>
          <a:effectLst/>
        </c:spPr>
      </c:pivotFmt>
      <c:pivotFmt>
        <c:idx val="2"/>
        <c:spPr>
          <a:solidFill>
            <a:srgbClr val="0FA200"/>
          </a:solidFill>
          <a:ln w="19050">
            <a:solidFill>
              <a:schemeClr val="bg1"/>
            </a:solidFill>
          </a:ln>
          <a:effectLst/>
        </c:spPr>
      </c:pivotFmt>
      <c:pivotFmt>
        <c:idx val="3"/>
        <c:spPr>
          <a:solidFill>
            <a:srgbClr val="7AFA7D"/>
          </a:solidFill>
          <a:ln w="19050">
            <a:solidFill>
              <a:schemeClr val="bg1"/>
            </a:solidFill>
          </a:ln>
          <a:effectLst/>
        </c:spPr>
      </c:pivotFmt>
      <c:pivotFmt>
        <c:idx val="4"/>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AFA7D"/>
          </a:solidFill>
          <a:ln w="19050">
            <a:solidFill>
              <a:schemeClr val="bg1"/>
            </a:solidFill>
          </a:ln>
          <a:effectLst/>
        </c:spPr>
      </c:pivotFmt>
      <c:pivotFmt>
        <c:idx val="6"/>
        <c:spPr>
          <a:solidFill>
            <a:srgbClr val="0FA200"/>
          </a:solidFill>
          <a:ln w="19050">
            <a:solidFill>
              <a:schemeClr val="bg1"/>
            </a:solidFill>
          </a:ln>
          <a:effectLst/>
        </c:spPr>
      </c:pivotFmt>
      <c:pivotFmt>
        <c:idx val="7"/>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AFA7D"/>
          </a:solidFill>
          <a:ln w="19050">
            <a:solidFill>
              <a:schemeClr val="bg1"/>
            </a:solidFill>
          </a:ln>
          <a:effectLst/>
        </c:spPr>
      </c:pivotFmt>
      <c:pivotFmt>
        <c:idx val="9"/>
        <c:spPr>
          <a:solidFill>
            <a:srgbClr val="0FA200"/>
          </a:solidFill>
          <a:ln w="1905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95C00"/>
            </a:solidFill>
            <a:ln w="19050">
              <a:solidFill>
                <a:schemeClr val="bg1"/>
              </a:solidFill>
            </a:ln>
            <a:effectLst/>
          </c:spPr>
          <c:invertIfNegative val="0"/>
          <c:dPt>
            <c:idx val="0"/>
            <c:invertIfNegative val="0"/>
            <c:bubble3D val="0"/>
            <c:spPr>
              <a:solidFill>
                <a:srgbClr val="7AFA7D"/>
              </a:solidFill>
              <a:ln w="19050">
                <a:solidFill>
                  <a:schemeClr val="bg1"/>
                </a:solidFill>
              </a:ln>
              <a:effectLst/>
            </c:spPr>
            <c:extLst>
              <c:ext xmlns:c16="http://schemas.microsoft.com/office/drawing/2014/chart" uri="{C3380CC4-5D6E-409C-BE32-E72D297353CC}">
                <c16:uniqueId val="{00000001-F18F-47EA-B818-966A76D867D5}"/>
              </c:ext>
            </c:extLst>
          </c:dPt>
          <c:dPt>
            <c:idx val="1"/>
            <c:invertIfNegative val="0"/>
            <c:bubble3D val="0"/>
            <c:spPr>
              <a:solidFill>
                <a:srgbClr val="0FA200"/>
              </a:solidFill>
              <a:ln w="19050">
                <a:solidFill>
                  <a:schemeClr val="bg1"/>
                </a:solidFill>
              </a:ln>
              <a:effectLst/>
            </c:spPr>
            <c:extLst>
              <c:ext xmlns:c16="http://schemas.microsoft.com/office/drawing/2014/chart" uri="{C3380CC4-5D6E-409C-BE32-E72D297353CC}">
                <c16:uniqueId val="{00000003-F18F-47EA-B818-966A76D867D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F18F-47EA-B818-966A76D867D5}"/>
            </c:ext>
          </c:extLst>
        </c:ser>
        <c:dLbls>
          <c:dLblPos val="outEnd"/>
          <c:showLegendKey val="0"/>
          <c:showVal val="1"/>
          <c:showCatName val="0"/>
          <c:showSerName val="0"/>
          <c:showPercent val="0"/>
          <c:showBubbleSize val="0"/>
        </c:dLbls>
        <c:gapWidth val="182"/>
        <c:axId val="328120751"/>
        <c:axId val="328121231"/>
      </c:barChart>
      <c:catAx>
        <c:axId val="32812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8121231"/>
        <c:crosses val="autoZero"/>
        <c:auto val="1"/>
        <c:lblAlgn val="ctr"/>
        <c:lblOffset val="100"/>
        <c:noMultiLvlLbl val="0"/>
      </c:catAx>
      <c:valAx>
        <c:axId val="328121231"/>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81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FEF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95C00"/>
          </a:solidFill>
          <a:ln w="19050">
            <a:solidFill>
              <a:schemeClr val="bg1"/>
            </a:solidFill>
          </a:ln>
          <a:effectLst/>
        </c:spPr>
      </c:pivotFmt>
      <c:pivotFmt>
        <c:idx val="2"/>
        <c:spPr>
          <a:solidFill>
            <a:srgbClr val="0FA200"/>
          </a:solidFill>
          <a:ln w="19050">
            <a:solidFill>
              <a:schemeClr val="bg1"/>
            </a:solidFill>
          </a:ln>
          <a:effectLst/>
        </c:spPr>
      </c:pivotFmt>
      <c:pivotFmt>
        <c:idx val="3"/>
        <c:spPr>
          <a:solidFill>
            <a:srgbClr val="7AFA7D"/>
          </a:solidFill>
          <a:ln w="19050">
            <a:solidFill>
              <a:schemeClr val="bg1"/>
            </a:solidFill>
          </a:ln>
          <a:effectLst/>
        </c:spPr>
      </c:pivotFmt>
      <c:pivotFmt>
        <c:idx val="4"/>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AFA7D"/>
          </a:solidFill>
          <a:ln w="19050">
            <a:solidFill>
              <a:schemeClr val="bg1"/>
            </a:solidFill>
          </a:ln>
          <a:effectLst/>
        </c:spPr>
      </c:pivotFmt>
      <c:pivotFmt>
        <c:idx val="6"/>
        <c:spPr>
          <a:solidFill>
            <a:srgbClr val="0FA200"/>
          </a:solidFill>
          <a:ln w="19050">
            <a:solidFill>
              <a:schemeClr val="bg1"/>
            </a:solidFill>
          </a:ln>
          <a:effectLst/>
        </c:spPr>
      </c:pivotFmt>
      <c:pivotFmt>
        <c:idx val="7"/>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95C00"/>
          </a:solidFill>
          <a:ln w="190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95C00"/>
            </a:solidFill>
            <a:ln w="19050">
              <a:solidFill>
                <a:schemeClr val="bg1"/>
              </a:solidFill>
            </a:ln>
            <a:effectLst/>
          </c:spPr>
          <c:invertIfNegative val="0"/>
          <c:dPt>
            <c:idx val="0"/>
            <c:invertIfNegative val="0"/>
            <c:bubble3D val="0"/>
            <c:extLst>
              <c:ext xmlns:c16="http://schemas.microsoft.com/office/drawing/2014/chart" uri="{C3380CC4-5D6E-409C-BE32-E72D297353CC}">
                <c16:uniqueId val="{00000000-AF25-4E0A-9907-E047DAF16E9C}"/>
              </c:ext>
            </c:extLst>
          </c:dPt>
          <c:dPt>
            <c:idx val="1"/>
            <c:invertIfNegative val="0"/>
            <c:bubble3D val="0"/>
            <c:extLst>
              <c:ext xmlns:c16="http://schemas.microsoft.com/office/drawing/2014/chart" uri="{C3380CC4-5D6E-409C-BE32-E72D297353CC}">
                <c16:uniqueId val="{00000001-AF25-4E0A-9907-E047DAF16E9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AF25-4E0A-9907-E047DAF16E9C}"/>
            </c:ext>
          </c:extLst>
        </c:ser>
        <c:dLbls>
          <c:dLblPos val="outEnd"/>
          <c:showLegendKey val="0"/>
          <c:showVal val="1"/>
          <c:showCatName val="0"/>
          <c:showSerName val="0"/>
          <c:showPercent val="0"/>
          <c:showBubbleSize val="0"/>
        </c:dLbls>
        <c:gapWidth val="182"/>
        <c:axId val="328120751"/>
        <c:axId val="328121231"/>
      </c:barChart>
      <c:catAx>
        <c:axId val="32812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8121231"/>
        <c:crosses val="autoZero"/>
        <c:auto val="1"/>
        <c:lblAlgn val="ctr"/>
        <c:lblOffset val="100"/>
        <c:noMultiLvlLbl val="0"/>
      </c:catAx>
      <c:valAx>
        <c:axId val="328121231"/>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812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0FEF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4</xdr:row>
      <xdr:rowOff>144780</xdr:rowOff>
    </xdr:to>
    <xdr:sp macro="" textlink="">
      <xdr:nvSpPr>
        <xdr:cNvPr id="2" name="Rectangle 1">
          <a:extLst>
            <a:ext uri="{FF2B5EF4-FFF2-40B4-BE49-F238E27FC236}">
              <a16:creationId xmlns:a16="http://schemas.microsoft.com/office/drawing/2014/main" id="{0D6FEDC1-A9F6-A915-C137-CD40E789E7CE}"/>
            </a:ext>
          </a:extLst>
        </xdr:cNvPr>
        <xdr:cNvSpPr/>
      </xdr:nvSpPr>
      <xdr:spPr>
        <a:xfrm>
          <a:off x="0" y="0"/>
          <a:ext cx="15361920" cy="754380"/>
        </a:xfrm>
        <a:prstGeom prst="rect">
          <a:avLst/>
        </a:prstGeom>
        <a:solidFill>
          <a:srgbClr val="074800"/>
        </a:solidFill>
        <a:ln>
          <a:solidFill>
            <a:srgbClr val="095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4400">
              <a:solidFill>
                <a:schemeClr val="bg1"/>
              </a:solidFill>
            </a:rPr>
            <a:t>COFFEE SALES DASHBOARD</a:t>
          </a:r>
        </a:p>
      </xdr:txBody>
    </xdr:sp>
    <xdr:clientData/>
  </xdr:twoCellAnchor>
  <xdr:twoCellAnchor>
    <xdr:from>
      <xdr:col>0</xdr:col>
      <xdr:colOff>0</xdr:colOff>
      <xdr:row>17</xdr:row>
      <xdr:rowOff>0</xdr:rowOff>
    </xdr:from>
    <xdr:to>
      <xdr:col>14</xdr:col>
      <xdr:colOff>0</xdr:colOff>
      <xdr:row>42</xdr:row>
      <xdr:rowOff>0</xdr:rowOff>
    </xdr:to>
    <xdr:graphicFrame macro="">
      <xdr:nvGraphicFramePr>
        <xdr:cNvPr id="3" name="Chart 2">
          <a:extLst>
            <a:ext uri="{FF2B5EF4-FFF2-40B4-BE49-F238E27FC236}">
              <a16:creationId xmlns:a16="http://schemas.microsoft.com/office/drawing/2014/main" id="{C9A54F73-AEB9-4C39-86E1-F86338139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0</xdr:rowOff>
    </xdr:from>
    <xdr:to>
      <xdr:col>18</xdr:col>
      <xdr:colOff>0</xdr:colOff>
      <xdr:row>16</xdr:row>
      <xdr:rowOff>121920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3D26060F-0F14-4BC8-88AD-4CF00A2ABC0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786190"/>
              <a:ext cx="9434286" cy="1996682"/>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19</xdr:col>
      <xdr:colOff>0</xdr:colOff>
      <xdr:row>9</xdr:row>
      <xdr:rowOff>0</xdr:rowOff>
    </xdr:from>
    <xdr:to>
      <xdr:col>22</xdr:col>
      <xdr:colOff>0</xdr:colOff>
      <xdr:row>16</xdr:row>
      <xdr:rowOff>121920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81129DBD-254B-4530-94B9-2E231884218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55238" y="1511905"/>
              <a:ext cx="1814286" cy="12709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5</xdr:row>
      <xdr:rowOff>0</xdr:rowOff>
    </xdr:from>
    <xdr:to>
      <xdr:col>26</xdr:col>
      <xdr:colOff>0</xdr:colOff>
      <xdr:row>8</xdr:row>
      <xdr:rowOff>99060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E80345D8-4335-4417-AFE9-B61F42F1937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555238" y="786190"/>
              <a:ext cx="3749524" cy="64334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9</xdr:row>
      <xdr:rowOff>0</xdr:rowOff>
    </xdr:from>
    <xdr:to>
      <xdr:col>26</xdr:col>
      <xdr:colOff>0</xdr:colOff>
      <xdr:row>16</xdr:row>
      <xdr:rowOff>121920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F394FC08-A8E8-4595-92EB-B7E1AB704C7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490476" y="1511905"/>
              <a:ext cx="1814286" cy="12709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17</xdr:row>
      <xdr:rowOff>0</xdr:rowOff>
    </xdr:from>
    <xdr:to>
      <xdr:col>26</xdr:col>
      <xdr:colOff>0</xdr:colOff>
      <xdr:row>27</xdr:row>
      <xdr:rowOff>91440</xdr:rowOff>
    </xdr:to>
    <xdr:graphicFrame macro="">
      <xdr:nvGraphicFramePr>
        <xdr:cNvPr id="8" name="Chart 7">
          <a:extLst>
            <a:ext uri="{FF2B5EF4-FFF2-40B4-BE49-F238E27FC236}">
              <a16:creationId xmlns:a16="http://schemas.microsoft.com/office/drawing/2014/main" id="{2EA1FBFE-E0A2-4AC2-B9A5-E05D1984B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28</xdr:row>
      <xdr:rowOff>0</xdr:rowOff>
    </xdr:from>
    <xdr:to>
      <xdr:col>26</xdr:col>
      <xdr:colOff>0</xdr:colOff>
      <xdr:row>42</xdr:row>
      <xdr:rowOff>0</xdr:rowOff>
    </xdr:to>
    <xdr:graphicFrame macro="">
      <xdr:nvGraphicFramePr>
        <xdr:cNvPr id="9" name="Chart 8">
          <a:extLst>
            <a:ext uri="{FF2B5EF4-FFF2-40B4-BE49-F238E27FC236}">
              <a16:creationId xmlns:a16="http://schemas.microsoft.com/office/drawing/2014/main" id="{D1C7E6B6-653F-4F00-ACF6-48FE8E5BE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ezg" refreshedDate="45690.680317361112" createdVersion="8" refreshedVersion="8" minRefreshableVersion="3" recordCount="1000" xr:uid="{D7233194-F008-405C-8A25-ABD3E25E6F49}">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327382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BF72F-F76B-403E-AB2E-FE805B6CFCAC}"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
  <location ref="A3:G53"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169"/>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F09DA-B7A1-4503-AF11-40BFF74EABA8}"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2" numFmtId="170"/>
  </dataFields>
  <chartFormats count="10">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12" format="7"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7" count="1" selected="0">
            <x v="1"/>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24ABD-3C8A-44CD-ACFB-9177C2E8BDCA}" name="Total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9"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2" numFmtId="170"/>
  </dataFields>
  <chartFormats count="4">
    <chartFormat chart="4"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E168691-6FE9-41B5-83BA-A5B2E3EEDEAB}" sourceName="Size">
  <pivotTables>
    <pivotTable tabId="18" name="TotalSales"/>
    <pivotTable tabId="19" name="TotalSales"/>
    <pivotTable tabId="20" name="TotalSales"/>
  </pivotTables>
  <data>
    <tabular pivotCacheId="3273828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4942018-C40B-45B4-8DBC-BA78BEB252CA}" sourceName="Roast Type Name">
  <pivotTables>
    <pivotTable tabId="18" name="TotalSales"/>
    <pivotTable tabId="19" name="TotalSales"/>
    <pivotTable tabId="20" name="TotalSales"/>
  </pivotTables>
  <data>
    <tabular pivotCacheId="3273828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2936FEC-CD15-4C3B-AF40-A193A1ACCF9D}" sourceName="Loyalty Card">
  <pivotTables>
    <pivotTable tabId="18" name="TotalSales"/>
    <pivotTable tabId="19" name="TotalSales"/>
    <pivotTable tabId="20" name="TotalSales"/>
  </pivotTables>
  <data>
    <tabular pivotCacheId="3273828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6BCAE9A-9E8F-474E-AE3E-9E40A8F986ED}" cache="Slicer_Size" caption="Size" columnCount="2" rowHeight="234950"/>
  <slicer name="Roast Type Name" xr10:uid="{3D235F40-A615-45FC-92A9-5B4F7E28D5D5}" cache="Slicer_Roast_Type_Name" caption="Roast Type Name" columnCount="3" rowHeight="234950"/>
  <slicer name="Loyalty Card" xr10:uid="{5527E65E-4EE2-4CD8-8296-75B900B937EE}"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7FF94-F032-4ED9-9566-64340D928CC8}" name="Orders" displayName="Orders" ref="A1:P1001" totalsRowShown="0" headerRowDxfId="13">
  <autoFilter ref="A1:P1001" xr:uid="{0BB7FF94-F032-4ED9-9566-64340D928CC8}"/>
  <tableColumns count="16">
    <tableColumn id="1" xr3:uid="{0EB33B3F-BF7A-41F2-BBED-091F03ED3497}" name="Order ID" dataDxfId="12"/>
    <tableColumn id="2" xr3:uid="{59BF2988-4B1F-41DB-BF19-16AF31A26E87}" name="Order Date" dataDxfId="11"/>
    <tableColumn id="3" xr3:uid="{BF31C29F-49F1-41D1-95DC-7C4864284863}" name="Customer ID" dataDxfId="10"/>
    <tableColumn id="4" xr3:uid="{722D3F4D-5D42-42CD-B018-B85EC2F2E2E5}" name="Product ID"/>
    <tableColumn id="5" xr3:uid="{B101EDAD-7744-4BAA-9CAB-7EC559617301}" name="Quantity" dataDxfId="9"/>
    <tableColumn id="6" xr3:uid="{E3872684-094E-4181-B0B4-3E545D90BEAD}" name="Customer Name" dataDxfId="8">
      <calculatedColumnFormula>_xlfn.XLOOKUP(C2,customers!$A$1:$A$1001,customers!$B$1:$B$1001,,0)</calculatedColumnFormula>
    </tableColumn>
    <tableColumn id="7" xr3:uid="{E21CDF73-7207-4E31-BEB0-2F585835219D}" name="Email" dataDxfId="7">
      <calculatedColumnFormula>IF(_xlfn.XLOOKUP(C2,customers!$A$1:$A$1001,customers!$C$1:$C$1001,,0)=0,"",_xlfn.XLOOKUP(C2,customers!$A$1:$A$1001,customers!$C$1:$C$1001,,0))</calculatedColumnFormula>
    </tableColumn>
    <tableColumn id="8" xr3:uid="{FDFFCD6B-8382-4634-88D5-89E8D2F4E9FE}" name="Country" dataDxfId="6">
      <calculatedColumnFormula>_xlfn.XLOOKUP(C2,customers!$A$1:$A$1001,customers!$G$1:$G$1001,,0)</calculatedColumnFormula>
    </tableColumn>
    <tableColumn id="9" xr3:uid="{91A6048D-C60E-44D1-9442-420F231B3DC0}" name="Coffee Type">
      <calculatedColumnFormula>INDEX(products!$A$1:$G$49,MATCH(orders!$D2,products!$A$1:$A$49,0),MATCH(orders!I$1,products!$A$1:$G$1,0))</calculatedColumnFormula>
    </tableColumn>
    <tableColumn id="10" xr3:uid="{8C0F21B6-E4E6-4BF4-9259-2A526ECADD12}" name="Roast Type">
      <calculatedColumnFormula>INDEX(products!$A$1:$G$49,MATCH(orders!$D2,products!$A$1:$A$49,0),MATCH(orders!J$1,products!$A$1:$G$1,0))</calculatedColumnFormula>
    </tableColumn>
    <tableColumn id="11" xr3:uid="{76098335-1680-45F5-8366-BCF4DCBE7CC0}" name="Size" dataDxfId="5">
      <calculatedColumnFormula>INDEX(products!$A$1:$G$49,MATCH(orders!$D2,products!$A$1:$A$49,0),MATCH(orders!K$1,products!$A$1:$G$1,0))</calculatedColumnFormula>
    </tableColumn>
    <tableColumn id="12" xr3:uid="{4D848208-DEE7-4D9D-97AD-212DA89F5298}" name="Unit Price" dataDxfId="4">
      <calculatedColumnFormula>INDEX(products!$A$1:$G$49,MATCH(orders!$D2,products!$A$1:$A$49,0),MATCH(orders!L$1,products!$A$1:$G$1,0))</calculatedColumnFormula>
    </tableColumn>
    <tableColumn id="13" xr3:uid="{0363A074-E543-434E-98AF-41D04166A10A}" name="Sales" dataDxfId="3">
      <calculatedColumnFormula>L2*E2</calculatedColumnFormula>
    </tableColumn>
    <tableColumn id="14" xr3:uid="{CC00536D-080E-4251-A4D5-AAC61F15C170}" name="Coffee Type Name">
      <calculatedColumnFormula>IF(I2="Rob","Robusta",IF(I2="Exc","Excelsa",IF(I2="Ara","Arabica",IF(I2="Lib","Liberica",""))))</calculatedColumnFormula>
    </tableColumn>
    <tableColumn id="15" xr3:uid="{EBF435D2-55BD-4CDB-AA74-E8937923DB7A}" name="Roast Type Name">
      <calculatedColumnFormula>IF(J2="M","Medium",IF(J2="L","Light", IF(J2="D","Dark","")))</calculatedColumnFormula>
    </tableColumn>
    <tableColumn id="16" xr3:uid="{5BFD4089-25E8-4DD4-B8C4-D98F4A93C9B4}" name="Loyalty Card" dataDxfId="2">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0E0F479-AADC-44FE-A5E0-FC1BEDEC2968}" sourceName="Order Date">
  <pivotTables>
    <pivotTable tabId="18" name="TotalSales"/>
    <pivotTable tabId="19" name="TotalSales"/>
    <pivotTable tabId="20" name="TotalSales"/>
  </pivotTables>
  <state minimalRefreshVersion="6" lastRefreshVersion="6" pivotCacheId="3273828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19A32B0-111A-446A-892C-3E89808961F2}" cache="NativeTimeline_Order_Date" caption="Order Date" level="2" selectionLevel="2" scrollPosition="2021-01-15T00:00:00" style="Green Timeline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6C90E-CC55-4FE5-95BF-FD46F8CFA373}">
  <dimension ref="A1:A30"/>
  <sheetViews>
    <sheetView showGridLines="0" topLeftCell="AA1" zoomScale="63" workbookViewId="0">
      <selection activeCell="AF32" sqref="AF32"/>
    </sheetView>
  </sheetViews>
  <sheetFormatPr defaultRowHeight="14.4" x14ac:dyDescent="0.3"/>
  <cols>
    <col min="1" max="1" width="1.77734375" customWidth="1"/>
    <col min="14" max="15" width="1.77734375" customWidth="1"/>
    <col min="19" max="19" width="1.77734375" customWidth="1"/>
    <col min="23" max="23" width="1.77734375" customWidth="1"/>
  </cols>
  <sheetData>
    <row r="1" ht="4.95" customHeight="1" x14ac:dyDescent="0.3"/>
    <row r="16" ht="4.95" customHeight="1" x14ac:dyDescent="0.3"/>
    <row r="18" ht="4.95" customHeight="1" x14ac:dyDescent="0.3"/>
    <row r="30"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744D1-B28D-45D5-904C-29A67B3728BA}">
  <dimension ref="A3:K53"/>
  <sheetViews>
    <sheetView topLeftCell="E8" workbookViewId="0">
      <selection activeCell="I17" sqref="I17"/>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3" spans="1:11" x14ac:dyDescent="0.3">
      <c r="A3" s="6" t="s">
        <v>6225</v>
      </c>
      <c r="C3" s="6" t="s">
        <v>6196</v>
      </c>
    </row>
    <row r="4" spans="1:11" x14ac:dyDescent="0.3">
      <c r="A4" s="6" t="s">
        <v>6215</v>
      </c>
      <c r="B4" s="6" t="s">
        <v>6216</v>
      </c>
      <c r="C4" t="s">
        <v>6221</v>
      </c>
      <c r="D4" t="s">
        <v>6222</v>
      </c>
      <c r="E4" t="s">
        <v>6223</v>
      </c>
      <c r="F4" t="s">
        <v>6224</v>
      </c>
      <c r="G4" t="s">
        <v>6198</v>
      </c>
    </row>
    <row r="5" spans="1:11" x14ac:dyDescent="0.3">
      <c r="A5" t="s">
        <v>6199</v>
      </c>
      <c r="B5" t="s">
        <v>6203</v>
      </c>
      <c r="C5" s="8">
        <v>186.85499999999999</v>
      </c>
      <c r="D5" s="8">
        <v>305.97000000000003</v>
      </c>
      <c r="E5" s="8">
        <v>213.15999999999997</v>
      </c>
      <c r="F5" s="8">
        <v>123</v>
      </c>
      <c r="G5" s="8">
        <v>828.98500000000001</v>
      </c>
    </row>
    <row r="6" spans="1:11" x14ac:dyDescent="0.3">
      <c r="B6" t="s">
        <v>6204</v>
      </c>
      <c r="C6" s="8">
        <v>251.96499999999997</v>
      </c>
      <c r="D6" s="8">
        <v>129.46</v>
      </c>
      <c r="E6" s="8">
        <v>434.03999999999996</v>
      </c>
      <c r="F6" s="8">
        <v>171.93999999999997</v>
      </c>
      <c r="G6" s="8">
        <v>987.40499999999986</v>
      </c>
    </row>
    <row r="7" spans="1:11" x14ac:dyDescent="0.3">
      <c r="B7" t="s">
        <v>6205</v>
      </c>
      <c r="C7" s="8">
        <v>224.94499999999999</v>
      </c>
      <c r="D7" s="8">
        <v>349.12</v>
      </c>
      <c r="E7" s="8">
        <v>321.04000000000002</v>
      </c>
      <c r="F7" s="8">
        <v>126.035</v>
      </c>
      <c r="G7" s="8">
        <v>1021.14</v>
      </c>
    </row>
    <row r="8" spans="1:11" x14ac:dyDescent="0.3">
      <c r="B8" t="s">
        <v>6206</v>
      </c>
      <c r="C8" s="8">
        <v>307.12</v>
      </c>
      <c r="D8" s="8">
        <v>681.07499999999993</v>
      </c>
      <c r="E8" s="8">
        <v>533.70499999999993</v>
      </c>
      <c r="F8" s="8">
        <v>158.85</v>
      </c>
      <c r="G8" s="8">
        <v>1680.7499999999998</v>
      </c>
    </row>
    <row r="9" spans="1:11" x14ac:dyDescent="0.3">
      <c r="B9" t="s">
        <v>6207</v>
      </c>
      <c r="C9" s="8">
        <v>53.664999999999992</v>
      </c>
      <c r="D9" s="8">
        <v>83.025000000000006</v>
      </c>
      <c r="E9" s="8">
        <v>193.83499999999998</v>
      </c>
      <c r="F9" s="8">
        <v>68.039999999999992</v>
      </c>
      <c r="G9" s="8">
        <v>398.56499999999994</v>
      </c>
    </row>
    <row r="10" spans="1:11" x14ac:dyDescent="0.3">
      <c r="B10" t="s">
        <v>6208</v>
      </c>
      <c r="C10" s="8">
        <v>163.01999999999998</v>
      </c>
      <c r="D10" s="8">
        <v>678.3599999999999</v>
      </c>
      <c r="E10" s="8">
        <v>171.04500000000002</v>
      </c>
      <c r="F10" s="8">
        <v>372.255</v>
      </c>
      <c r="G10" s="8">
        <v>1384.6799999999998</v>
      </c>
    </row>
    <row r="11" spans="1:11" x14ac:dyDescent="0.3">
      <c r="B11" t="s">
        <v>6209</v>
      </c>
      <c r="C11" s="8">
        <v>345.02</v>
      </c>
      <c r="D11" s="8">
        <v>273.86999999999995</v>
      </c>
      <c r="E11" s="8">
        <v>184.12999999999997</v>
      </c>
      <c r="F11" s="8">
        <v>201.11499999999998</v>
      </c>
      <c r="G11" s="8">
        <v>1004.1349999999999</v>
      </c>
    </row>
    <row r="12" spans="1:11" x14ac:dyDescent="0.3">
      <c r="B12" t="s">
        <v>6210</v>
      </c>
      <c r="C12" s="8">
        <v>334.89</v>
      </c>
      <c r="D12" s="8">
        <v>70.95</v>
      </c>
      <c r="E12" s="8">
        <v>134.23000000000002</v>
      </c>
      <c r="F12" s="8">
        <v>166.27499999999998</v>
      </c>
      <c r="G12" s="8">
        <v>706.34499999999991</v>
      </c>
    </row>
    <row r="13" spans="1:11" x14ac:dyDescent="0.3">
      <c r="B13" t="s">
        <v>6211</v>
      </c>
      <c r="C13" s="8">
        <v>178.70999999999998</v>
      </c>
      <c r="D13" s="8">
        <v>166.1</v>
      </c>
      <c r="E13" s="8">
        <v>439.30999999999995</v>
      </c>
      <c r="F13" s="8">
        <v>492.9</v>
      </c>
      <c r="G13" s="8">
        <v>1277.02</v>
      </c>
      <c r="K13" s="7"/>
    </row>
    <row r="14" spans="1:11" x14ac:dyDescent="0.3">
      <c r="B14" t="s">
        <v>6212</v>
      </c>
      <c r="C14" s="8">
        <v>301.98500000000001</v>
      </c>
      <c r="D14" s="8">
        <v>153.76499999999999</v>
      </c>
      <c r="E14" s="8">
        <v>215.55499999999998</v>
      </c>
      <c r="F14" s="8">
        <v>213.66499999999999</v>
      </c>
      <c r="G14" s="8">
        <v>884.96999999999991</v>
      </c>
    </row>
    <row r="15" spans="1:11" x14ac:dyDescent="0.3">
      <c r="B15" t="s">
        <v>6213</v>
      </c>
      <c r="C15" s="8">
        <v>312.83499999999998</v>
      </c>
      <c r="D15" s="8">
        <v>63.249999999999993</v>
      </c>
      <c r="E15" s="8">
        <v>350.89500000000004</v>
      </c>
      <c r="F15" s="8">
        <v>96.405000000000001</v>
      </c>
      <c r="G15" s="8">
        <v>823.38499999999999</v>
      </c>
    </row>
    <row r="16" spans="1:11" x14ac:dyDescent="0.3">
      <c r="B16" t="s">
        <v>6214</v>
      </c>
      <c r="C16" s="8">
        <v>265.62</v>
      </c>
      <c r="D16" s="8">
        <v>526.51499999999987</v>
      </c>
      <c r="E16" s="8">
        <v>187.06</v>
      </c>
      <c r="F16" s="8">
        <v>210.58999999999997</v>
      </c>
      <c r="G16" s="8">
        <v>1189.7849999999999</v>
      </c>
    </row>
    <row r="17" spans="1:7" x14ac:dyDescent="0.3">
      <c r="A17" t="s">
        <v>6217</v>
      </c>
      <c r="C17" s="8">
        <v>2926.63</v>
      </c>
      <c r="D17" s="8">
        <v>3481.4599999999996</v>
      </c>
      <c r="E17" s="8">
        <v>3378.0049999999997</v>
      </c>
      <c r="F17" s="8">
        <v>2401.0700000000002</v>
      </c>
      <c r="G17" s="8">
        <v>12187.164999999999</v>
      </c>
    </row>
    <row r="18" spans="1:7" x14ac:dyDescent="0.3">
      <c r="A18" t="s">
        <v>6200</v>
      </c>
      <c r="B18" t="s">
        <v>6203</v>
      </c>
      <c r="C18" s="8">
        <v>47.25</v>
      </c>
      <c r="D18" s="8">
        <v>65.805000000000007</v>
      </c>
      <c r="E18" s="8">
        <v>274.67500000000001</v>
      </c>
      <c r="F18" s="8">
        <v>179.22</v>
      </c>
      <c r="G18" s="8">
        <v>566.95000000000005</v>
      </c>
    </row>
    <row r="19" spans="1:7" x14ac:dyDescent="0.3">
      <c r="B19" t="s">
        <v>6204</v>
      </c>
      <c r="C19" s="8">
        <v>745.44999999999993</v>
      </c>
      <c r="D19" s="8">
        <v>428.88499999999999</v>
      </c>
      <c r="E19" s="8">
        <v>194.17499999999998</v>
      </c>
      <c r="F19" s="8">
        <v>429.82999999999993</v>
      </c>
      <c r="G19" s="8">
        <v>1798.34</v>
      </c>
    </row>
    <row r="20" spans="1:7" x14ac:dyDescent="0.3">
      <c r="B20" t="s">
        <v>6205</v>
      </c>
      <c r="C20" s="8">
        <v>130.47</v>
      </c>
      <c r="D20" s="8">
        <v>271.48500000000001</v>
      </c>
      <c r="E20" s="8">
        <v>281.20499999999998</v>
      </c>
      <c r="F20" s="8">
        <v>231.63000000000002</v>
      </c>
      <c r="G20" s="8">
        <v>914.79000000000008</v>
      </c>
    </row>
    <row r="21" spans="1:7" x14ac:dyDescent="0.3">
      <c r="B21" t="s">
        <v>6206</v>
      </c>
      <c r="C21" s="8">
        <v>27</v>
      </c>
      <c r="D21" s="8">
        <v>347.26</v>
      </c>
      <c r="E21" s="8">
        <v>147.51</v>
      </c>
      <c r="F21" s="8">
        <v>240.04</v>
      </c>
      <c r="G21" s="8">
        <v>761.81</v>
      </c>
    </row>
    <row r="22" spans="1:7" x14ac:dyDescent="0.3">
      <c r="B22" t="s">
        <v>6207</v>
      </c>
      <c r="C22" s="8">
        <v>255.11499999999995</v>
      </c>
      <c r="D22" s="8">
        <v>541.73</v>
      </c>
      <c r="E22" s="8">
        <v>83.43</v>
      </c>
      <c r="F22" s="8">
        <v>59.079999999999991</v>
      </c>
      <c r="G22" s="8">
        <v>939.35500000000013</v>
      </c>
    </row>
    <row r="23" spans="1:7" x14ac:dyDescent="0.3">
      <c r="B23" t="s">
        <v>6208</v>
      </c>
      <c r="C23" s="8">
        <v>584.78999999999985</v>
      </c>
      <c r="D23" s="8">
        <v>357.42999999999995</v>
      </c>
      <c r="E23" s="8">
        <v>355.34</v>
      </c>
      <c r="F23" s="8">
        <v>140.88</v>
      </c>
      <c r="G23" s="8">
        <v>1438.4399999999996</v>
      </c>
    </row>
    <row r="24" spans="1:7" x14ac:dyDescent="0.3">
      <c r="B24" t="s">
        <v>6209</v>
      </c>
      <c r="C24" s="8">
        <v>430.62</v>
      </c>
      <c r="D24" s="8">
        <v>227.42500000000001</v>
      </c>
      <c r="E24" s="8">
        <v>236.315</v>
      </c>
      <c r="F24" s="8">
        <v>414.58499999999992</v>
      </c>
      <c r="G24" s="8">
        <v>1308.9450000000002</v>
      </c>
    </row>
    <row r="25" spans="1:7" x14ac:dyDescent="0.3">
      <c r="B25" t="s">
        <v>6210</v>
      </c>
      <c r="C25" s="8">
        <v>22.5</v>
      </c>
      <c r="D25" s="8">
        <v>77.72</v>
      </c>
      <c r="E25" s="8">
        <v>60.5</v>
      </c>
      <c r="F25" s="8">
        <v>139.67999999999998</v>
      </c>
      <c r="G25" s="8">
        <v>300.39999999999998</v>
      </c>
    </row>
    <row r="26" spans="1:7" x14ac:dyDescent="0.3">
      <c r="B26" t="s">
        <v>6211</v>
      </c>
      <c r="C26" s="8">
        <v>126.14999999999999</v>
      </c>
      <c r="D26" s="8">
        <v>195.11</v>
      </c>
      <c r="E26" s="8">
        <v>89.13</v>
      </c>
      <c r="F26" s="8">
        <v>302.65999999999997</v>
      </c>
      <c r="G26" s="8">
        <v>713.05</v>
      </c>
    </row>
    <row r="27" spans="1:7" x14ac:dyDescent="0.3">
      <c r="B27" t="s">
        <v>6212</v>
      </c>
      <c r="C27" s="8">
        <v>376.03</v>
      </c>
      <c r="D27" s="8">
        <v>523.24</v>
      </c>
      <c r="E27" s="8">
        <v>440.96499999999997</v>
      </c>
      <c r="F27" s="8">
        <v>174.46999999999997</v>
      </c>
      <c r="G27" s="8">
        <v>1514.7049999999999</v>
      </c>
    </row>
    <row r="28" spans="1:7" x14ac:dyDescent="0.3">
      <c r="B28" t="s">
        <v>6213</v>
      </c>
      <c r="C28" s="8">
        <v>515.17999999999995</v>
      </c>
      <c r="D28" s="8">
        <v>142.56</v>
      </c>
      <c r="E28" s="8">
        <v>347.03999999999996</v>
      </c>
      <c r="F28" s="8">
        <v>104.08499999999999</v>
      </c>
      <c r="G28" s="8">
        <v>1108.865</v>
      </c>
    </row>
    <row r="29" spans="1:7" x14ac:dyDescent="0.3">
      <c r="B29" t="s">
        <v>6214</v>
      </c>
      <c r="C29" s="8">
        <v>95.859999999999985</v>
      </c>
      <c r="D29" s="8">
        <v>484.76</v>
      </c>
      <c r="E29" s="8">
        <v>94.17</v>
      </c>
      <c r="F29" s="8">
        <v>77.10499999999999</v>
      </c>
      <c r="G29" s="8">
        <v>751.89499999999998</v>
      </c>
    </row>
    <row r="30" spans="1:7" x14ac:dyDescent="0.3">
      <c r="A30" t="s">
        <v>6218</v>
      </c>
      <c r="C30" s="8">
        <v>3356.415</v>
      </c>
      <c r="D30" s="8">
        <v>3663.41</v>
      </c>
      <c r="E30" s="8">
        <v>2604.4550000000004</v>
      </c>
      <c r="F30" s="8">
        <v>2493.2649999999999</v>
      </c>
      <c r="G30" s="8">
        <v>12117.544999999998</v>
      </c>
    </row>
    <row r="31" spans="1:7" x14ac:dyDescent="0.3">
      <c r="A31" t="s">
        <v>6201</v>
      </c>
      <c r="B31" t="s">
        <v>6203</v>
      </c>
      <c r="C31" s="8">
        <v>258.34500000000003</v>
      </c>
      <c r="D31" s="8">
        <v>139.625</v>
      </c>
      <c r="E31" s="8">
        <v>279.52000000000004</v>
      </c>
      <c r="F31" s="8">
        <v>160.19499999999999</v>
      </c>
      <c r="G31" s="8">
        <v>837.68499999999995</v>
      </c>
    </row>
    <row r="32" spans="1:7" x14ac:dyDescent="0.3">
      <c r="B32" t="s">
        <v>6204</v>
      </c>
      <c r="C32" s="8">
        <v>342.2</v>
      </c>
      <c r="D32" s="8">
        <v>284.24999999999994</v>
      </c>
      <c r="E32" s="8">
        <v>251.83</v>
      </c>
      <c r="F32" s="8">
        <v>80.550000000000011</v>
      </c>
      <c r="G32" s="8">
        <v>958.82999999999993</v>
      </c>
    </row>
    <row r="33" spans="1:7" x14ac:dyDescent="0.3">
      <c r="B33" t="s">
        <v>6205</v>
      </c>
      <c r="C33" s="8">
        <v>418.30499999999989</v>
      </c>
      <c r="D33" s="8">
        <v>468.125</v>
      </c>
      <c r="E33" s="8">
        <v>405.05500000000006</v>
      </c>
      <c r="F33" s="8">
        <v>253.15499999999997</v>
      </c>
      <c r="G33" s="8">
        <v>1544.6399999999999</v>
      </c>
    </row>
    <row r="34" spans="1:7" x14ac:dyDescent="0.3">
      <c r="B34" t="s">
        <v>6206</v>
      </c>
      <c r="C34" s="8">
        <v>102.32999999999998</v>
      </c>
      <c r="D34" s="8">
        <v>242.14000000000001</v>
      </c>
      <c r="E34" s="8">
        <v>554.875</v>
      </c>
      <c r="F34" s="8">
        <v>106.23999999999998</v>
      </c>
      <c r="G34" s="8">
        <v>1005.585</v>
      </c>
    </row>
    <row r="35" spans="1:7" x14ac:dyDescent="0.3">
      <c r="B35" t="s">
        <v>6207</v>
      </c>
      <c r="C35" s="8">
        <v>234.71999999999997</v>
      </c>
      <c r="D35" s="8">
        <v>133.08000000000001</v>
      </c>
      <c r="E35" s="8">
        <v>267.2</v>
      </c>
      <c r="F35" s="8">
        <v>272.68999999999994</v>
      </c>
      <c r="G35" s="8">
        <v>907.68999999999994</v>
      </c>
    </row>
    <row r="36" spans="1:7" x14ac:dyDescent="0.3">
      <c r="B36" t="s">
        <v>6208</v>
      </c>
      <c r="C36" s="8">
        <v>430.39</v>
      </c>
      <c r="D36" s="8">
        <v>136.20500000000001</v>
      </c>
      <c r="E36" s="8">
        <v>209.6</v>
      </c>
      <c r="F36" s="8">
        <v>88.334999999999994</v>
      </c>
      <c r="G36" s="8">
        <v>864.53000000000009</v>
      </c>
    </row>
    <row r="37" spans="1:7" x14ac:dyDescent="0.3">
      <c r="B37" t="s">
        <v>6209</v>
      </c>
      <c r="C37" s="8">
        <v>109.005</v>
      </c>
      <c r="D37" s="8">
        <v>393.57499999999999</v>
      </c>
      <c r="E37" s="8">
        <v>61.034999999999997</v>
      </c>
      <c r="F37" s="8">
        <v>199.48999999999998</v>
      </c>
      <c r="G37" s="8">
        <v>763.10500000000002</v>
      </c>
    </row>
    <row r="38" spans="1:7" x14ac:dyDescent="0.3">
      <c r="B38" t="s">
        <v>6210</v>
      </c>
      <c r="C38" s="8">
        <v>287.52499999999998</v>
      </c>
      <c r="D38" s="8">
        <v>288.67</v>
      </c>
      <c r="E38" s="8">
        <v>125.58</v>
      </c>
      <c r="F38" s="8">
        <v>374.13499999999999</v>
      </c>
      <c r="G38" s="8">
        <v>1075.9099999999999</v>
      </c>
    </row>
    <row r="39" spans="1:7" x14ac:dyDescent="0.3">
      <c r="B39" t="s">
        <v>6211</v>
      </c>
      <c r="C39" s="8">
        <v>840.92999999999984</v>
      </c>
      <c r="D39" s="8">
        <v>409.875</v>
      </c>
      <c r="E39" s="8">
        <v>171.32999999999998</v>
      </c>
      <c r="F39" s="8">
        <v>221.43999999999997</v>
      </c>
      <c r="G39" s="8">
        <v>1643.5749999999998</v>
      </c>
    </row>
    <row r="40" spans="1:7" x14ac:dyDescent="0.3">
      <c r="B40" t="s">
        <v>6212</v>
      </c>
      <c r="C40" s="8">
        <v>299.07</v>
      </c>
      <c r="D40" s="8">
        <v>260.32499999999999</v>
      </c>
      <c r="E40" s="8">
        <v>584.64</v>
      </c>
      <c r="F40" s="8">
        <v>256.36500000000001</v>
      </c>
      <c r="G40" s="8">
        <v>1400.3999999999999</v>
      </c>
    </row>
    <row r="41" spans="1:7" x14ac:dyDescent="0.3">
      <c r="B41" t="s">
        <v>6213</v>
      </c>
      <c r="C41" s="8">
        <v>323.32499999999999</v>
      </c>
      <c r="D41" s="8">
        <v>565.57000000000005</v>
      </c>
      <c r="E41" s="8">
        <v>537.80999999999995</v>
      </c>
      <c r="F41" s="8">
        <v>189.47499999999999</v>
      </c>
      <c r="G41" s="8">
        <v>1616.1799999999998</v>
      </c>
    </row>
    <row r="42" spans="1:7" x14ac:dyDescent="0.3">
      <c r="B42" t="s">
        <v>6214</v>
      </c>
      <c r="C42" s="8">
        <v>399.48499999999996</v>
      </c>
      <c r="D42" s="8">
        <v>148.19999999999999</v>
      </c>
      <c r="E42" s="8">
        <v>388.21999999999997</v>
      </c>
      <c r="F42" s="8">
        <v>212.07499999999999</v>
      </c>
      <c r="G42" s="8">
        <v>1147.98</v>
      </c>
    </row>
    <row r="43" spans="1:7" x14ac:dyDescent="0.3">
      <c r="A43" t="s">
        <v>6219</v>
      </c>
      <c r="C43" s="8">
        <v>4045.63</v>
      </c>
      <c r="D43" s="8">
        <v>3469.64</v>
      </c>
      <c r="E43" s="8">
        <v>3836.6949999999997</v>
      </c>
      <c r="F43" s="8">
        <v>2414.145</v>
      </c>
      <c r="G43" s="8">
        <v>13766.109999999999</v>
      </c>
    </row>
    <row r="44" spans="1:7" x14ac:dyDescent="0.3">
      <c r="A44" t="s">
        <v>6202</v>
      </c>
      <c r="B44" t="s">
        <v>6203</v>
      </c>
      <c r="C44" s="8">
        <v>112.69499999999999</v>
      </c>
      <c r="D44" s="8">
        <v>166.32</v>
      </c>
      <c r="E44" s="8">
        <v>843.71499999999992</v>
      </c>
      <c r="F44" s="8">
        <v>146.685</v>
      </c>
      <c r="G44" s="8">
        <v>1269.415</v>
      </c>
    </row>
    <row r="45" spans="1:7" x14ac:dyDescent="0.3">
      <c r="B45" t="s">
        <v>6204</v>
      </c>
      <c r="C45" s="8">
        <v>114.87999999999998</v>
      </c>
      <c r="D45" s="8">
        <v>133.815</v>
      </c>
      <c r="E45" s="8">
        <v>91.175000000000011</v>
      </c>
      <c r="F45" s="8">
        <v>53.759999999999991</v>
      </c>
      <c r="G45" s="8">
        <v>393.63</v>
      </c>
    </row>
    <row r="46" spans="1:7" x14ac:dyDescent="0.3">
      <c r="B46" t="s">
        <v>6205</v>
      </c>
      <c r="C46" s="8">
        <v>277.76</v>
      </c>
      <c r="D46" s="8">
        <v>175.41</v>
      </c>
      <c r="E46" s="8">
        <v>462.50999999999993</v>
      </c>
      <c r="F46" s="8">
        <v>399.52499999999998</v>
      </c>
      <c r="G46" s="8">
        <v>1315.2049999999999</v>
      </c>
    </row>
    <row r="47" spans="1:7" x14ac:dyDescent="0.3">
      <c r="B47" t="s">
        <v>6206</v>
      </c>
      <c r="C47" s="8">
        <v>197.89499999999998</v>
      </c>
      <c r="D47" s="8">
        <v>289.755</v>
      </c>
      <c r="E47" s="8">
        <v>88.545000000000002</v>
      </c>
      <c r="F47" s="8">
        <v>200.25499999999997</v>
      </c>
      <c r="G47" s="8">
        <v>776.44999999999993</v>
      </c>
    </row>
    <row r="48" spans="1:7" x14ac:dyDescent="0.3">
      <c r="B48" t="s">
        <v>6207</v>
      </c>
      <c r="C48" s="8">
        <v>193.11499999999998</v>
      </c>
      <c r="D48" s="8">
        <v>212.49499999999998</v>
      </c>
      <c r="E48" s="8">
        <v>292.29000000000002</v>
      </c>
      <c r="F48" s="8">
        <v>304.46999999999997</v>
      </c>
      <c r="G48" s="8">
        <v>1002.3699999999999</v>
      </c>
    </row>
    <row r="49" spans="1:7" x14ac:dyDescent="0.3">
      <c r="B49" t="s">
        <v>6208</v>
      </c>
      <c r="C49" s="8">
        <v>179.79</v>
      </c>
      <c r="D49" s="8">
        <v>426.2</v>
      </c>
      <c r="E49" s="8">
        <v>170.08999999999997</v>
      </c>
      <c r="F49" s="8">
        <v>379.31</v>
      </c>
      <c r="G49" s="8">
        <v>1155.3899999999999</v>
      </c>
    </row>
    <row r="50" spans="1:7" x14ac:dyDescent="0.3">
      <c r="B50" t="s">
        <v>6209</v>
      </c>
      <c r="C50" s="8">
        <v>247.28999999999996</v>
      </c>
      <c r="D50" s="8">
        <v>246.685</v>
      </c>
      <c r="E50" s="8">
        <v>271.05499999999995</v>
      </c>
      <c r="F50" s="8">
        <v>141.69999999999999</v>
      </c>
      <c r="G50" s="8">
        <v>906.73</v>
      </c>
    </row>
    <row r="51" spans="1:7" x14ac:dyDescent="0.3">
      <c r="B51" t="s">
        <v>6210</v>
      </c>
      <c r="C51" s="8">
        <v>116.39499999999998</v>
      </c>
      <c r="D51" s="8">
        <v>41.25</v>
      </c>
      <c r="E51" s="8">
        <v>15.54</v>
      </c>
      <c r="F51" s="8">
        <v>71.06</v>
      </c>
      <c r="G51" s="8">
        <v>244.24499999999998</v>
      </c>
    </row>
    <row r="52" spans="1:7" x14ac:dyDescent="0.3">
      <c r="A52" t="s">
        <v>6220</v>
      </c>
      <c r="C52" s="8">
        <v>1439.82</v>
      </c>
      <c r="D52" s="8">
        <v>1691.9299999999998</v>
      </c>
      <c r="E52" s="8">
        <v>2234.9199999999996</v>
      </c>
      <c r="F52" s="8">
        <v>1696.7649999999999</v>
      </c>
      <c r="G52" s="8">
        <v>7063.4349999999986</v>
      </c>
    </row>
    <row r="53" spans="1:7" x14ac:dyDescent="0.3">
      <c r="A53" t="s">
        <v>6198</v>
      </c>
      <c r="C53" s="8">
        <v>11768.495000000003</v>
      </c>
      <c r="D53" s="8">
        <v>12306.440000000002</v>
      </c>
      <c r="E53" s="8">
        <v>12054.075000000003</v>
      </c>
      <c r="F53" s="8">
        <v>9005.244999999999</v>
      </c>
      <c r="G53" s="8">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428-D577-45BE-B775-F38BFA7E8635}">
  <dimension ref="A3:K13"/>
  <sheetViews>
    <sheetView workbookViewId="0">
      <selection activeCell="K23" sqref="K23"/>
    </sheetView>
  </sheetViews>
  <sheetFormatPr defaultRowHeight="14.4" x14ac:dyDescent="0.3"/>
  <cols>
    <col min="1" max="1" width="14" bestFit="1" customWidth="1"/>
    <col min="2" max="3" width="11.6640625" bestFit="1" customWidth="1"/>
    <col min="4" max="6" width="18.88671875" bestFit="1" customWidth="1"/>
    <col min="7" max="7" width="10.77734375" bestFit="1" customWidth="1"/>
  </cols>
  <sheetData>
    <row r="3" spans="1:11" x14ac:dyDescent="0.3">
      <c r="A3" s="6" t="s">
        <v>7</v>
      </c>
      <c r="B3" t="s">
        <v>6225</v>
      </c>
    </row>
    <row r="4" spans="1:11" x14ac:dyDescent="0.3">
      <c r="A4" t="s">
        <v>28</v>
      </c>
      <c r="B4" s="9">
        <v>2798.5050000000001</v>
      </c>
    </row>
    <row r="5" spans="1:11" x14ac:dyDescent="0.3">
      <c r="A5" t="s">
        <v>318</v>
      </c>
      <c r="B5" s="9">
        <v>6696.8649999999989</v>
      </c>
    </row>
    <row r="6" spans="1:11" x14ac:dyDescent="0.3">
      <c r="A6" t="s">
        <v>19</v>
      </c>
      <c r="B6" s="9">
        <v>35638.88499999998</v>
      </c>
    </row>
    <row r="7" spans="1:11" x14ac:dyDescent="0.3">
      <c r="A7" t="s">
        <v>6198</v>
      </c>
      <c r="B7" s="9">
        <v>45134.254999999976</v>
      </c>
    </row>
    <row r="13" spans="1:11" x14ac:dyDescent="0.3">
      <c r="K13"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AEE1-9EB6-4F38-ADEA-D42CCCB27984}">
  <dimension ref="A3:K13"/>
  <sheetViews>
    <sheetView workbookViewId="0">
      <selection activeCell="L13" sqref="L13"/>
    </sheetView>
  </sheetViews>
  <sheetFormatPr defaultRowHeight="14.4" x14ac:dyDescent="0.3"/>
  <cols>
    <col min="1" max="1" width="16.88671875" bestFit="1" customWidth="1"/>
    <col min="2" max="3" width="11.6640625" bestFit="1" customWidth="1"/>
    <col min="4" max="6" width="18.88671875" bestFit="1" customWidth="1"/>
    <col min="7" max="7" width="10.77734375" bestFit="1" customWidth="1"/>
  </cols>
  <sheetData>
    <row r="3" spans="1:11" x14ac:dyDescent="0.3">
      <c r="A3" s="6" t="s">
        <v>4</v>
      </c>
      <c r="B3" t="s">
        <v>6225</v>
      </c>
    </row>
    <row r="4" spans="1:11" x14ac:dyDescent="0.3">
      <c r="A4" t="s">
        <v>3753</v>
      </c>
      <c r="B4" s="9">
        <v>278.01</v>
      </c>
    </row>
    <row r="5" spans="1:11" x14ac:dyDescent="0.3">
      <c r="A5" t="s">
        <v>1598</v>
      </c>
      <c r="B5" s="9">
        <v>281.67499999999995</v>
      </c>
    </row>
    <row r="6" spans="1:11" x14ac:dyDescent="0.3">
      <c r="A6" t="s">
        <v>2587</v>
      </c>
      <c r="B6" s="9">
        <v>289.11</v>
      </c>
    </row>
    <row r="7" spans="1:11" x14ac:dyDescent="0.3">
      <c r="A7" t="s">
        <v>5765</v>
      </c>
      <c r="B7" s="9">
        <v>307.04499999999996</v>
      </c>
    </row>
    <row r="8" spans="1:11" x14ac:dyDescent="0.3">
      <c r="A8" t="s">
        <v>5114</v>
      </c>
      <c r="B8" s="9">
        <v>317.06999999999994</v>
      </c>
    </row>
    <row r="9" spans="1:11" x14ac:dyDescent="0.3">
      <c r="A9" t="s">
        <v>6198</v>
      </c>
      <c r="B9" s="9">
        <v>1472.9099999999999</v>
      </c>
    </row>
    <row r="13" spans="1:11" x14ac:dyDescent="0.3">
      <c r="K1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82"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 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 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 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 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 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 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 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 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 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 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 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 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 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 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 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 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 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Zeeshan ZG</cp:lastModifiedBy>
  <cp:revision/>
  <dcterms:created xsi:type="dcterms:W3CDTF">2022-11-26T09:51:45Z</dcterms:created>
  <dcterms:modified xsi:type="dcterms:W3CDTF">2025-02-03T02:15:47Z</dcterms:modified>
  <cp:category/>
  <cp:contentStatus/>
</cp:coreProperties>
</file>